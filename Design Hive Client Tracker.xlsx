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er" sheetId="1" state="visible" r:id="rId1"/>
    <sheet xmlns:r="http://schemas.openxmlformats.org/officeDocument/2006/relationships" name="Daily Summary" sheetId="2" state="visible" r:id="rId2"/>
    <sheet xmlns:r="http://schemas.openxmlformats.org/officeDocument/2006/relationships" name="Platform Report" sheetId="3" state="visible" r:id="rId3"/>
    <sheet xmlns:r="http://schemas.openxmlformats.org/officeDocument/2006/relationships" name="Monthly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Platform</t>
        </is>
      </c>
      <c r="C1" t="inlineStr">
        <is>
          <t>Business/Startup Name</t>
        </is>
      </c>
      <c r="D1" t="inlineStr">
        <is>
          <t>Contact Name</t>
        </is>
      </c>
      <c r="E1" t="inlineStr">
        <is>
          <t>City</t>
        </is>
      </c>
      <c r="F1" t="inlineStr">
        <is>
          <t>Service Interested</t>
        </is>
      </c>
      <c r="G1" t="inlineStr">
        <is>
          <t>First Message Sent (Y/N)</t>
        </is>
      </c>
      <c r="H1" t="inlineStr">
        <is>
          <t>Reply Received (Y/N)</t>
        </is>
      </c>
      <c r="I1" t="inlineStr">
        <is>
          <t>Call Booked (Y/N)</t>
        </is>
      </c>
      <c r="J1" t="inlineStr">
        <is>
          <t>Proposal Sent (Y/N)</t>
        </is>
      </c>
      <c r="K1" t="inlineStr">
        <is>
          <t>Deal Closed (Y/N)</t>
        </is>
      </c>
      <c r="L1" t="inlineStr">
        <is>
          <t>Deal Value (₹)</t>
        </is>
      </c>
      <c r="M1" t="inlineStr">
        <is>
          <t>Follow-up 1 Date</t>
        </is>
      </c>
      <c r="N1" t="inlineStr">
        <is>
          <t>Follow-up 2 Date</t>
        </is>
      </c>
      <c r="O1" t="inlineStr">
        <is>
          <t>Follow-up 3 Date</t>
        </is>
      </c>
      <c r="P1" t="inlineStr">
        <is>
          <t>Lead Status</t>
        </is>
      </c>
      <c r="Q1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Instagram DMs</t>
        </is>
      </c>
      <c r="C1" t="inlineStr">
        <is>
          <t>LinkedIn DMs</t>
        </is>
      </c>
      <c r="D1" t="inlineStr">
        <is>
          <t>Cold Emails</t>
        </is>
      </c>
      <c r="E1" t="inlineStr">
        <is>
          <t>Total Approached</t>
        </is>
      </c>
      <c r="F1" t="inlineStr">
        <is>
          <t>Replies</t>
        </is>
      </c>
      <c r="G1" t="inlineStr">
        <is>
          <t>Calls Booked</t>
        </is>
      </c>
      <c r="H1" t="inlineStr">
        <is>
          <t>Proposals Sent</t>
        </is>
      </c>
      <c r="I1" t="inlineStr">
        <is>
          <t>Deals Closed</t>
        </is>
      </c>
      <c r="J1" t="inlineStr">
        <is>
          <t>Revenue (₹)</t>
        </is>
      </c>
    </row>
    <row r="2">
      <c r="A2" t="inlineStr">
        <is>
          <t>Enter Date</t>
        </is>
      </c>
      <c r="B2">
        <f>COUNTIFS(Tracker!A:A, A2, Tracker!B:B, "Instagram")</f>
        <v/>
      </c>
      <c r="C2">
        <f>COUNTIFS(Tracker!A:A, A2, Tracker!B:B, "LinkedIn")</f>
        <v/>
      </c>
      <c r="D2">
        <f>COUNTIFS(Tracker!A:A, A2, Tracker!B:B, "Cold Email")</f>
        <v/>
      </c>
      <c r="E2">
        <f>B2+C2+D2</f>
        <v/>
      </c>
      <c r="F2">
        <f>COUNTIFS(Tracker!A:A, A2, Tracker!H:H, "Y")</f>
        <v/>
      </c>
      <c r="G2">
        <f>COUNTIFS(Tracker!A:A, A2, Tracker!I:I, "Y")</f>
        <v/>
      </c>
      <c r="H2">
        <f>COUNTIFS(Tracker!A:A, A2, Tracker!J:J, "Y")</f>
        <v/>
      </c>
      <c r="I2">
        <f>COUNTIFS(Tracker!A:A, A2, Tracker!K:K, "Y")</f>
        <v/>
      </c>
      <c r="J2">
        <f>SUMIFS(Tracker!L:L, Tracker!A:A, A2, Tracker!K:K, "Y")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Total Leads</t>
        </is>
      </c>
      <c r="C1" t="inlineStr">
        <is>
          <t>Total Replies</t>
        </is>
      </c>
      <c r="D1" t="inlineStr">
        <is>
          <t>Total Calls</t>
        </is>
      </c>
      <c r="E1" t="inlineStr">
        <is>
          <t>Total Deals</t>
        </is>
      </c>
      <c r="F1" t="inlineStr">
        <is>
          <t>Total Revenue (₹)</t>
        </is>
      </c>
    </row>
    <row r="2">
      <c r="A2" t="inlineStr">
        <is>
          <t>Instagram</t>
        </is>
      </c>
      <c r="B2">
        <f>COUNTIF(Tracker!B:B, "Instagram")</f>
        <v/>
      </c>
      <c r="C2">
        <f>COUNTIFS(Tracker!B:B, "Instagram", Tracker!H:H, "Y")</f>
        <v/>
      </c>
      <c r="D2">
        <f>COUNTIFS(Tracker!B:B, "Instagram", Tracker!I:I, "Y")</f>
        <v/>
      </c>
      <c r="E2">
        <f>COUNTIFS(Tracker!B:B, "Instagram", Tracker!K:K, "Y")</f>
        <v/>
      </c>
      <c r="F2">
        <f>SUMIFS(Tracker!L:L, Tracker!B:B, "Instagram", Tracker!K:K, "Y")</f>
        <v/>
      </c>
    </row>
    <row r="3">
      <c r="A3" t="inlineStr">
        <is>
          <t>LinkedIn</t>
        </is>
      </c>
      <c r="B3">
        <f>COUNTIF(Tracker!B:B, "LinkedIn")</f>
        <v/>
      </c>
      <c r="C3">
        <f>COUNTIFS(Tracker!B:B, "LinkedIn", Tracker!H:H, "Y")</f>
        <v/>
      </c>
      <c r="D3">
        <f>COUNTIFS(Tracker!B:B, "LinkedIn", Tracker!I:I, "Y")</f>
        <v/>
      </c>
      <c r="E3">
        <f>COUNTIFS(Tracker!B:B, "LinkedIn", Tracker!K:K, "Y")</f>
        <v/>
      </c>
      <c r="F3">
        <f>SUMIFS(Tracker!L:L, Tracker!B:B, "LinkedIn", Tracker!K:K, "Y")</f>
        <v/>
      </c>
    </row>
    <row r="4">
      <c r="A4" t="inlineStr">
        <is>
          <t>Cold Email</t>
        </is>
      </c>
      <c r="B4">
        <f>COUNTIF(Tracker!B:B, "Cold Email")</f>
        <v/>
      </c>
      <c r="C4">
        <f>COUNTIFS(Tracker!B:B, "Cold Email", Tracker!H:H, "Y")</f>
        <v/>
      </c>
      <c r="D4">
        <f>COUNTIFS(Tracker!B:B, "Cold Email", Tracker!I:I, "Y")</f>
        <v/>
      </c>
      <c r="E4">
        <f>COUNTIFS(Tracker!B:B, "Cold Email", Tracker!K:K, "Y")</f>
        <v/>
      </c>
      <c r="F4">
        <f>SUMIFS(Tracker!L:L, Tracker!B:B, "Cold Email", Tracker!K:K, "Y")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Total Leads</t>
        </is>
      </c>
      <c r="C1" t="inlineStr">
        <is>
          <t>Total Calls</t>
        </is>
      </c>
      <c r="D1" t="inlineStr">
        <is>
          <t>Total Proposals</t>
        </is>
      </c>
      <c r="E1" t="inlineStr">
        <is>
          <t>Total Deals</t>
        </is>
      </c>
      <c r="F1" t="inlineStr">
        <is>
          <t>Total Revenue (₹)</t>
        </is>
      </c>
      <c r="G1" t="inlineStr">
        <is>
          <t>Best Platform</t>
        </is>
      </c>
      <c r="H1" t="inlineStr">
        <is>
          <t>Closing %</t>
        </is>
      </c>
    </row>
    <row r="2">
      <c r="A2" t="inlineStr">
        <is>
          <t>Enter Month</t>
        </is>
      </c>
      <c r="B2">
        <f>COUNTA(Tracker!A:A)-1</f>
        <v/>
      </c>
      <c r="C2">
        <f>COUNTIF(Tracker!I:I, "Y")</f>
        <v/>
      </c>
      <c r="D2">
        <f>COUNTIF(Tracker!J:J, "Y")</f>
        <v/>
      </c>
      <c r="E2">
        <f>COUNTIF(Tracker!K:K, "Y")</f>
        <v/>
      </c>
      <c r="F2">
        <f>SUMIF(Tracker!K:K, "Y", Tracker!L:L)</f>
        <v/>
      </c>
      <c r="G2" t="inlineStr">
        <is>
          <t>Manual</t>
        </is>
      </c>
      <c r="H2">
        <f>IF(B2=0, 0, (E2/B2)*100)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2025-12-08T11:14:15Z</dcterms:created>
  <dcterms:modified xmlns:dcterms="http://purl.org/dc/terms/" xmlns:xsi="http://www.w3.org/2001/XMLSchema-instance" xsi:type="dcterms:W3CDTF">2025-12-08T11:14:15Z</dcterms:modified>
</cp:coreProperties>
</file>